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_App_Secu\WebShop\Infos\"/>
    </mc:Choice>
  </mc:AlternateContent>
  <xr:revisionPtr revIDLastSave="0" documentId="13_ncr:1_{8F4FC52B-1D2C-4EAD-B86F-B7276855BE85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<sst xmlns="http://schemas.openxmlformats.org/spreadsheetml/2006/main" count="194" uniqueCount="76">
  <si>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</si>
  <si>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</si>
  <si>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</si>
  <si>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</si>
  <si>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</si>
  <si>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</si>
  <si>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</si>
  <si>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</si>
  <si>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</si>
  <si>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</si>
  <si>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</si>
  <si>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</si>
  <si>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</si>
  <si>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</si>
  <si>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</si>
  <si>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</si>
  <si>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</si>
  <si>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</si>
  <si>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</si>
  <si>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</si>
  <si>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</si>
  <si>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</si>
  <si>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</si>
  <si>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</si>
  <si>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P_APP_183 : Secured WebShop</t>
  </si>
  <si>
    <t>Dario Chasi</t>
  </si>
  <si>
    <t>CID2A</t>
  </si>
  <si>
    <t>Vennes</t>
  </si>
  <si>
    <t>Vacances</t>
  </si>
  <si>
    <t>Réalisation des routes</t>
  </si>
  <si>
    <t>Réalisation des modeles</t>
  </si>
  <si>
    <t>Réalisation d'authentification</t>
  </si>
  <si>
    <t>Réalisation de la connexion db</t>
  </si>
  <si>
    <t>Réalisation du controleur</t>
  </si>
  <si>
    <t>Réalisation du mcd/mld</t>
  </si>
  <si>
    <t>Réalisation du mock</t>
  </si>
  <si>
    <t>Réalisation du server.js</t>
  </si>
  <si>
    <t>Réalisation de la page login</t>
  </si>
  <si>
    <t>Réalisation de la page d'inscription</t>
  </si>
  <si>
    <t>Réalisation de la page produits</t>
  </si>
  <si>
    <t>rapport/jnltrav</t>
  </si>
  <si>
    <t>Max. 12</t>
  </si>
  <si>
    <t>STOP</t>
  </si>
  <si>
    <t>Création du journal de travail et début du rapport</t>
  </si>
  <si>
    <t>Modification des routes pour tester son fonctionnement</t>
  </si>
  <si>
    <t>Création du modèle de l'utilisateur. Mais il faut faire des changement car sequelize n'est peut pas être utilisé</t>
  </si>
  <si>
    <t>Test du controleur pour apprendre son foncitonnement</t>
  </si>
  <si>
    <t>Création d'un petit mock des utilisateurs pour des différents tests</t>
  </si>
  <si>
    <t>Création de moyen d'authentification avc des tokens</t>
  </si>
  <si>
    <t>Réalistion du jnltrav</t>
  </si>
  <si>
    <t>Réalisation du modèle de l'utilisateur</t>
  </si>
  <si>
    <t>Ajout des utilisateurs</t>
  </si>
  <si>
    <t>Problèmes avec docker</t>
  </si>
  <si>
    <t>Réalisation du controleur pour la recherche par id</t>
  </si>
  <si>
    <t>Création de la route pour id</t>
  </si>
  <si>
    <t>Création de la route de recherche par nickname</t>
  </si>
  <si>
    <t>git</t>
  </si>
  <si>
    <t>Création du repos git et du fichier gitignore</t>
  </si>
  <si>
    <t>OpenSSL - CrypTool https://www.remipoignon.fr/generez-un-certificat-ssl-auto-signe-pour-passer-en-https/#:~:text=openssl%20x509%20-req%20-days%20365%20-in%20certificat.csr%20-signkey,certificat.crt%20Indiquer%20%C3%A0%20Apache%20d%E2%80%99utiliser%20le%20certificat%20SSL</t>
  </si>
  <si>
    <t>Création du la clé privé, publique et ceritificat signé grâce au sit web OpenSSL, il faut installer apache nnginx</t>
  </si>
  <si>
    <t>Connexion frontend et backend</t>
  </si>
  <si>
    <t>https</t>
  </si>
  <si>
    <t>Vue</t>
  </si>
  <si>
    <t>Hashage</t>
  </si>
  <si>
    <t>Création de la table utilisateur</t>
  </si>
  <si>
    <t>Convertion du site en https</t>
  </si>
  <si>
    <t>adaptation du code avec les certificats, cors pour la connexion front et back</t>
  </si>
  <si>
    <t>création de l'authentification pour la vérification de l'utilisateur</t>
  </si>
  <si>
    <t>Mise en place de crypto, apprentissage de son utilisation, création du salt</t>
  </si>
  <si>
    <t>Adaptation du login pour la comparaison des hachage</t>
  </si>
  <si>
    <t>Adaptation de l'authentification au mld</t>
  </si>
  <si>
    <t>Réalisation du frontend</t>
  </si>
  <si>
    <t>Connexion correcte entre le front et le backend</t>
  </si>
  <si>
    <t xml:space="preserve">Création d'un fichier html, installation du http-server, création de la barre de recherche </t>
  </si>
  <si>
    <t>Création du la vue avec vue.js car erreurs avec http-server et manque de connaissance</t>
  </si>
  <si>
    <t>Mise en place de modèles pour l'importation des utilisateurs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</si>
</sst>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160020</xdr:rowOff>
        </xdr:from>
        <xdr:to>
          <xdr:col>6</xdr:col>
          <xdr:colOff>76200</xdr:colOff>
          <xdr:row>3</xdr:row>
          <xdr:rowOff>198120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7620</xdr:rowOff>
        </xdr:from>
        <xdr:to>
          <xdr:col>6</xdr:col>
          <xdr:colOff>99060</xdr:colOff>
          <xdr:row>7</xdr:row>
          <xdr:rowOff>45720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ryptool.org/en/cto/openssl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B13" sqref="B13:B17"/>
    </sheetView>
  </sheetViews>
  <sheetFormatPr baseColWidth="10" defaultColWidth="11.5546875" defaultRowHeight="13.2" x14ac:dyDescent="0.25"/>
  <cols>
    <col min="1" max="1" width="16.5546875" style="57" customWidth="1"/>
    <col min="2" max="2" width="55.109375" style="57" customWidth="1"/>
    <col min="3" max="3" width="88.5546875" style="57" customWidth="1"/>
    <col min="4" max="4" width="3.44140625" style="57" customWidth="1"/>
    <col min="5" max="6" width="11.5546875" style="57"/>
    <col min="7" max="7" width="3.33203125" style="57" customWidth="1"/>
    <col min="8" max="16384" width="11.554687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3.8" thickBot="1" x14ac:dyDescent="0.3">
      <c r="A2" s="58"/>
      <c r="B2" s="59"/>
      <c r="C2" s="59"/>
      <c r="D2" s="59"/>
      <c r="E2" s="59"/>
      <c r="F2" s="59"/>
      <c r="G2" s="60"/>
    </row>
    <row r="3" spans="1:7" ht="21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1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1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.6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3.8" thickBot="1" x14ac:dyDescent="0.3">
      <c r="A8" s="58"/>
      <c r="B8" s="59"/>
      <c r="C8" s="59"/>
      <c r="D8" s="59"/>
      <c r="E8" s="59"/>
      <c r="F8" s="59"/>
      <c r="G8" s="60"/>
    </row>
    <row r="9" spans="1:7" ht="21" x14ac:dyDescent="0.25">
      <c r="A9" s="58"/>
      <c r="B9" s="61" t="s">
        <v>9</v>
      </c>
      <c r="C9" s="67">
        <v>45378</v>
      </c>
      <c r="D9" s="59"/>
      <c r="E9" s="59"/>
      <c r="F9" s="59"/>
      <c r="G9" s="60"/>
    </row>
    <row r="10" spans="1:7" ht="21" x14ac:dyDescent="0.25">
      <c r="A10" s="58"/>
      <c r="B10" s="68" t="s">
        <v>8</v>
      </c>
      <c r="C10" s="69">
        <v>45443</v>
      </c>
      <c r="D10" s="59"/>
      <c r="E10" s="59"/>
      <c r="F10" s="59"/>
      <c r="G10" s="60"/>
    </row>
    <row r="11" spans="1:7" ht="21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1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1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.6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3.8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3.8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1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1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1" x14ac:dyDescent="0.25">
      <c r="A22" s="78"/>
      <c r="B22" s="79">
        <v>2</v>
      </c>
      <c r="C22" s="70" t="s">
        <v>40</v>
      </c>
      <c r="D22" s="59"/>
      <c r="E22" s="59"/>
      <c r="F22" s="59"/>
      <c r="G22" s="60"/>
    </row>
    <row r="23" spans="1:7" ht="21" x14ac:dyDescent="0.25">
      <c r="A23" s="78"/>
      <c r="B23" s="81">
        <v>3</v>
      </c>
      <c r="C23" s="70" t="s">
        <v>29</v>
      </c>
      <c r="D23" s="59"/>
      <c r="E23" s="59"/>
      <c r="F23" s="59"/>
      <c r="G23" s="60"/>
    </row>
    <row r="24" spans="1:7" ht="21" x14ac:dyDescent="0.25">
      <c r="A24" s="78"/>
      <c r="B24" s="79">
        <v>4</v>
      </c>
      <c r="C24" s="70" t="s">
        <v>30</v>
      </c>
      <c r="D24" s="59"/>
      <c r="E24" s="59"/>
      <c r="F24" s="59"/>
      <c r="G24" s="60"/>
    </row>
    <row r="25" spans="1:7" ht="21" x14ac:dyDescent="0.25">
      <c r="A25" s="78"/>
      <c r="B25" s="79">
        <v>5</v>
      </c>
      <c r="C25" s="70" t="s">
        <v>31</v>
      </c>
      <c r="D25" s="59"/>
      <c r="E25" s="59"/>
      <c r="F25" s="59"/>
      <c r="G25" s="60"/>
    </row>
    <row r="26" spans="1:7" ht="21" x14ac:dyDescent="0.25">
      <c r="A26" s="78"/>
      <c r="B26" s="81">
        <v>6</v>
      </c>
      <c r="C26" s="70" t="s">
        <v>32</v>
      </c>
      <c r="D26" s="59"/>
      <c r="E26" s="59"/>
      <c r="F26" s="59"/>
      <c r="G26" s="60"/>
    </row>
    <row r="27" spans="1:7" ht="21" x14ac:dyDescent="0.25">
      <c r="A27" s="78"/>
      <c r="B27" s="79">
        <v>7</v>
      </c>
      <c r="C27" s="70" t="s">
        <v>33</v>
      </c>
      <c r="D27" s="59"/>
      <c r="E27" s="59"/>
      <c r="F27" s="59"/>
      <c r="G27" s="60"/>
    </row>
    <row r="28" spans="1:7" ht="21" x14ac:dyDescent="0.25">
      <c r="A28" s="78"/>
      <c r="B28" s="79">
        <v>8</v>
      </c>
      <c r="C28" s="71" t="s">
        <v>34</v>
      </c>
      <c r="D28" s="59"/>
      <c r="E28" s="59"/>
      <c r="F28" s="59"/>
      <c r="G28" s="60"/>
    </row>
    <row r="29" spans="1:7" ht="21" x14ac:dyDescent="0.25">
      <c r="A29" s="78"/>
      <c r="B29" s="81">
        <v>9</v>
      </c>
      <c r="C29" s="71" t="s">
        <v>35</v>
      </c>
      <c r="D29" s="59"/>
      <c r="E29" s="59"/>
      <c r="F29" s="59"/>
      <c r="G29" s="60"/>
    </row>
    <row r="30" spans="1:7" ht="21" x14ac:dyDescent="0.25">
      <c r="A30" s="78"/>
      <c r="B30" s="79">
        <v>10</v>
      </c>
      <c r="C30" s="70" t="s">
        <v>36</v>
      </c>
      <c r="D30" s="59"/>
      <c r="E30" s="59"/>
      <c r="F30" s="59"/>
      <c r="G30" s="60"/>
    </row>
    <row r="31" spans="1:7" ht="21" x14ac:dyDescent="0.25">
      <c r="A31" s="78"/>
      <c r="B31" s="79">
        <v>11</v>
      </c>
      <c r="C31" s="70" t="s">
        <v>37</v>
      </c>
      <c r="D31" s="59"/>
      <c r="E31" s="59"/>
      <c r="F31" s="59"/>
      <c r="G31" s="60"/>
    </row>
    <row r="32" spans="1:7" ht="21" x14ac:dyDescent="0.25">
      <c r="A32" s="78"/>
      <c r="B32" s="81">
        <v>12</v>
      </c>
      <c r="C32" s="70" t="s">
        <v>38</v>
      </c>
      <c r="D32" s="59"/>
      <c r="E32" s="59"/>
      <c r="F32" s="59"/>
      <c r="G32" s="60"/>
    </row>
    <row r="33" spans="1:7" ht="21" x14ac:dyDescent="0.25">
      <c r="A33" s="78"/>
      <c r="B33" s="79">
        <v>13</v>
      </c>
      <c r="C33" s="70" t="s">
        <v>39</v>
      </c>
      <c r="D33" s="59"/>
      <c r="E33" s="59"/>
      <c r="F33" s="59"/>
      <c r="G33" s="60"/>
    </row>
    <row r="34" spans="1:7" ht="21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1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1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1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1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1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1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1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1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1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1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.6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3.8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7620</xdr:colOff>
                <xdr:row>5</xdr:row>
                <xdr:rowOff>7620</xdr:rowOff>
              </from>
              <to>
                <xdr:col>6</xdr:col>
                <xdr:colOff>53340</xdr:colOff>
                <xdr:row>7</xdr:row>
                <xdr:rowOff>45720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7620</xdr:colOff>
                <xdr:row>1</xdr:row>
                <xdr:rowOff>160020</xdr:rowOff>
              </from>
              <to>
                <xdr:col>6</xdr:col>
                <xdr:colOff>30480</xdr:colOff>
                <xdr:row>3</xdr:row>
                <xdr:rowOff>198120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7620</xdr:colOff>
                <xdr:row>8</xdr:row>
                <xdr:rowOff>190500</xdr:rowOff>
              </from>
              <to>
                <xdr:col>6</xdr:col>
                <xdr:colOff>68580</xdr:colOff>
                <xdr:row>10</xdr:row>
                <xdr:rowOff>137160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546875" defaultRowHeight="19.5" customHeight="1" x14ac:dyDescent="0.25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4" ht="13.8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2" x14ac:dyDescent="0.25"/>
  <cols>
    <col min="2" max="2" width="51.88671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4140625" defaultRowHeight="13.2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 x14ac:dyDescent="0.3">
      <c r="A1" s="6" t="s">
        <v>14</v>
      </c>
      <c r="B1" s="7">
        <v>1</v>
      </c>
      <c r="C1" s="17"/>
      <c r="D1" s="85"/>
    </row>
    <row r="2" spans="1:4" ht="23.4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.8" thickBot="1" x14ac:dyDescent="0.3">
      <c r="A12" s="3"/>
      <c r="B12" s="3"/>
      <c r="C12" s="11"/>
      <c r="D12" s="11"/>
    </row>
    <row r="13" spans="1:4" ht="13.8" thickBot="1" x14ac:dyDescent="0.3">
      <c r="A13" s="12" t="s">
        <v>22</v>
      </c>
      <c r="B13" s="12">
        <f>SUM(B3:B12)</f>
        <v>0</v>
      </c>
      <c r="C13" s="13"/>
      <c r="D13" s="13"/>
    </row>
    <row r="14" spans="1:4" ht="13.8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3.8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3</xdr:row>
                <xdr:rowOff>53340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4140625" defaultRowHeight="13.2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 x14ac:dyDescent="0.3">
      <c r="A1" s="42" t="s">
        <v>14</v>
      </c>
      <c r="B1" s="43">
        <v>1</v>
      </c>
      <c r="C1" s="44" t="s">
        <v>23</v>
      </c>
      <c r="D1" s="53"/>
    </row>
    <row r="2" spans="1:4" ht="23.4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.8" thickBot="1" x14ac:dyDescent="0.3">
      <c r="A17" s="3"/>
      <c r="B17" s="3"/>
      <c r="C17" s="11"/>
      <c r="D17" s="11"/>
    </row>
    <row r="18" spans="1:8" ht="13.8" thickBot="1" x14ac:dyDescent="0.3">
      <c r="A18" s="47" t="s">
        <v>22</v>
      </c>
      <c r="B18" s="47">
        <f>SUM(B3:B17)</f>
        <v>0</v>
      </c>
      <c r="C18" s="48"/>
      <c r="D18" s="48"/>
    </row>
    <row r="19" spans="1:8" ht="13.8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3.8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3</xdr:row>
                <xdr:rowOff>53340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F7838-CB1E-42BF-9793-C4C657223D78}">
  <sheetPr codeName="Feuil9"/>
  <dimension ref="A1:H191"/>
  <sheetViews>
    <sheetView tabSelected="1" topLeftCell="A186" workbookViewId="0">
      <selection activeCell="A155" sqref="A155:C157"/>
    </sheetView>
  </sheetViews>
  <sheetFormatPr baseColWidth="10" defaultColWidth="11.44140625" defaultRowHeight="13.2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 x14ac:dyDescent="0.3">
      <c r="A1" s="42" t="s">
        <v>14</v>
      </c>
      <c r="B1" s="43">
        <v>1</v>
      </c>
      <c r="C1" s="44" t="s">
        <v>23</v>
      </c>
      <c r="D1" s="53">
        <f>Donnees!$C$9</f>
        <v>45378</v>
      </c>
    </row>
    <row r="2" spans="1:4" ht="23.4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40</v>
      </c>
      <c r="B3" s="4">
        <v>2</v>
      </c>
      <c r="C3" s="88" t="s">
        <v>43</v>
      </c>
      <c r="D3" s="9"/>
    </row>
    <row r="4" spans="1:4" s="52" customFormat="1" x14ac:dyDescent="0.25">
      <c r="A4" s="1" t="s">
        <v>29</v>
      </c>
      <c r="B4" s="2">
        <v>2</v>
      </c>
      <c r="C4" s="89" t="s">
        <v>44</v>
      </c>
      <c r="D4" s="10"/>
    </row>
    <row r="5" spans="1:4" s="52" customFormat="1" ht="26.4" x14ac:dyDescent="0.25">
      <c r="A5" s="1" t="s">
        <v>30</v>
      </c>
      <c r="B5" s="2">
        <v>2</v>
      </c>
      <c r="C5" s="89" t="s">
        <v>45</v>
      </c>
      <c r="D5" s="10"/>
    </row>
    <row r="6" spans="1:4" s="52" customFormat="1" ht="26.4" x14ac:dyDescent="0.25">
      <c r="A6" s="1" t="s">
        <v>31</v>
      </c>
      <c r="B6" s="2">
        <v>3</v>
      </c>
      <c r="C6" s="89" t="s">
        <v>48</v>
      </c>
      <c r="D6" s="10"/>
    </row>
    <row r="7" spans="1:4" s="52" customFormat="1" ht="26.4" x14ac:dyDescent="0.25">
      <c r="A7" s="1" t="s">
        <v>33</v>
      </c>
      <c r="B7" s="2">
        <v>2</v>
      </c>
      <c r="C7" s="89" t="s">
        <v>46</v>
      </c>
      <c r="D7" s="10"/>
    </row>
    <row r="8" spans="1:4" s="52" customFormat="1" x14ac:dyDescent="0.25">
      <c r="A8" s="1" t="s">
        <v>35</v>
      </c>
      <c r="B8" s="2">
        <v>1</v>
      </c>
      <c r="C8" s="89" t="s">
        <v>47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.8" thickBot="1" x14ac:dyDescent="0.3">
      <c r="A17" s="3"/>
      <c r="B17" s="3"/>
      <c r="C17" s="11"/>
      <c r="D17" s="11"/>
    </row>
    <row r="18" spans="1:8" ht="13.8" thickBot="1" x14ac:dyDescent="0.3">
      <c r="A18" s="47" t="s">
        <v>22</v>
      </c>
      <c r="B18" s="47">
        <f>SUM(B3:B17)</f>
        <v>12</v>
      </c>
      <c r="C18" s="87" t="s">
        <v>41</v>
      </c>
      <c r="D18" s="48"/>
    </row>
    <row r="19" spans="1:8" ht="14.4" thickBot="1" x14ac:dyDescent="0.35">
      <c r="A19" s="49"/>
      <c r="B19" s="49"/>
      <c r="C19" s="49"/>
      <c r="D19" s="49"/>
    </row>
    <row r="20" spans="1:8" ht="18" thickBot="1" x14ac:dyDescent="0.3">
      <c r="A20" s="42" t="s">
        <v>14</v>
      </c>
      <c r="B20" s="43">
        <v>2</v>
      </c>
      <c r="C20" s="44" t="s">
        <v>23</v>
      </c>
      <c r="D20" s="53">
        <f>$D$1+7</f>
        <v>45385</v>
      </c>
    </row>
    <row r="21" spans="1:8" ht="23.4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28</v>
      </c>
      <c r="B22" s="4">
        <v>12</v>
      </c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4.4" thickBot="1" x14ac:dyDescent="0.35">
      <c r="A36" s="3"/>
      <c r="B36" s="3"/>
      <c r="C36" s="11"/>
      <c r="D36" s="11"/>
      <c r="F36" s="40"/>
      <c r="G36" s="40"/>
      <c r="H36" s="40"/>
    </row>
    <row r="37" spans="1:8" ht="13.8" thickBot="1" x14ac:dyDescent="0.3">
      <c r="A37" s="47" t="s">
        <v>22</v>
      </c>
      <c r="B37" s="47">
        <f>SUM(B22:B36)</f>
        <v>12</v>
      </c>
      <c r="C37" s="87" t="s">
        <v>41</v>
      </c>
      <c r="D37" s="48"/>
    </row>
    <row r="38" spans="1:8" ht="14.4" thickBot="1" x14ac:dyDescent="0.35">
      <c r="A38" s="49"/>
      <c r="B38" s="49"/>
      <c r="C38" s="49"/>
      <c r="D38" s="49"/>
    </row>
    <row r="39" spans="1:8" ht="18" thickBot="1" x14ac:dyDescent="0.3">
      <c r="A39" s="42" t="s">
        <v>14</v>
      </c>
      <c r="B39" s="43">
        <v>3</v>
      </c>
      <c r="C39" s="44" t="s">
        <v>23</v>
      </c>
      <c r="D39" s="53">
        <f>$D$20+7</f>
        <v>45392</v>
      </c>
    </row>
    <row r="40" spans="1:8" ht="23.4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12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3.8" thickBot="1" x14ac:dyDescent="0.3">
      <c r="A55" s="3"/>
      <c r="B55" s="3"/>
      <c r="C55" s="11"/>
      <c r="D55" s="11"/>
    </row>
    <row r="56" spans="1:4" ht="13.8" thickBot="1" x14ac:dyDescent="0.3">
      <c r="A56" s="47" t="s">
        <v>22</v>
      </c>
      <c r="B56" s="47">
        <f>SUM(B41:B55)</f>
        <v>12</v>
      </c>
      <c r="C56" s="87" t="s">
        <v>41</v>
      </c>
      <c r="D56" s="48"/>
    </row>
    <row r="57" spans="1:4" ht="14.4" thickBot="1" x14ac:dyDescent="0.35">
      <c r="A57" s="49"/>
      <c r="B57" s="49"/>
      <c r="C57" s="49"/>
      <c r="D57" s="49"/>
    </row>
    <row r="58" spans="1:4" ht="18" thickBot="1" x14ac:dyDescent="0.3">
      <c r="A58" s="42" t="s">
        <v>14</v>
      </c>
      <c r="B58" s="43">
        <v>4</v>
      </c>
      <c r="C58" s="44" t="s">
        <v>23</v>
      </c>
      <c r="D58" s="53">
        <f>$D$39+7</f>
        <v>45399</v>
      </c>
    </row>
    <row r="59" spans="1:4" ht="23.4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29</v>
      </c>
      <c r="B60" s="4">
        <v>3</v>
      </c>
      <c r="C60" s="88" t="s">
        <v>54</v>
      </c>
      <c r="D60" s="9"/>
    </row>
    <row r="61" spans="1:4" x14ac:dyDescent="0.25">
      <c r="A61" s="1" t="s">
        <v>35</v>
      </c>
      <c r="B61" s="2">
        <v>1</v>
      </c>
      <c r="C61" s="89" t="s">
        <v>51</v>
      </c>
      <c r="D61" s="10"/>
    </row>
    <row r="62" spans="1:4" ht="26.4" x14ac:dyDescent="0.25">
      <c r="A62" s="1" t="s">
        <v>33</v>
      </c>
      <c r="B62" s="2">
        <v>3</v>
      </c>
      <c r="C62" s="89" t="s">
        <v>53</v>
      </c>
      <c r="D62" s="10"/>
    </row>
    <row r="63" spans="1:4" ht="26.4" x14ac:dyDescent="0.25">
      <c r="A63" s="1" t="s">
        <v>30</v>
      </c>
      <c r="B63" s="2">
        <v>2</v>
      </c>
      <c r="C63" s="89" t="s">
        <v>50</v>
      </c>
      <c r="D63" s="10"/>
    </row>
    <row r="64" spans="1:4" x14ac:dyDescent="0.25">
      <c r="A64" s="1" t="s">
        <v>40</v>
      </c>
      <c r="B64" s="2">
        <v>1</v>
      </c>
      <c r="C64" s="89" t="s">
        <v>49</v>
      </c>
      <c r="D64" s="10"/>
    </row>
    <row r="65" spans="1:4" x14ac:dyDescent="0.25">
      <c r="A65" s="1" t="s">
        <v>21</v>
      </c>
      <c r="B65" s="2">
        <v>2</v>
      </c>
      <c r="C65" s="89" t="s">
        <v>52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3.8" thickBot="1" x14ac:dyDescent="0.3">
      <c r="A74" s="3"/>
      <c r="B74" s="3"/>
      <c r="C74" s="11"/>
      <c r="D74" s="11"/>
    </row>
    <row r="75" spans="1:4" ht="13.8" thickBot="1" x14ac:dyDescent="0.3">
      <c r="A75" s="47" t="s">
        <v>22</v>
      </c>
      <c r="B75" s="47">
        <f>SUM(B60:B74)</f>
        <v>12</v>
      </c>
      <c r="C75" s="87" t="s">
        <v>41</v>
      </c>
      <c r="D75" s="48"/>
    </row>
    <row r="76" spans="1:4" ht="14.4" thickBot="1" x14ac:dyDescent="0.35">
      <c r="A76" s="49"/>
      <c r="B76" s="49"/>
      <c r="C76" s="49"/>
      <c r="D76" s="49"/>
    </row>
    <row r="77" spans="1:4" ht="18" thickBot="1" x14ac:dyDescent="0.3">
      <c r="A77" s="42" t="s">
        <v>14</v>
      </c>
      <c r="B77" s="43">
        <v>5</v>
      </c>
      <c r="C77" s="44" t="s">
        <v>23</v>
      </c>
      <c r="D77" s="53">
        <f>$D$58+7</f>
        <v>45406</v>
      </c>
    </row>
    <row r="78" spans="1:4" ht="23.4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29</v>
      </c>
      <c r="B79" s="4">
        <v>2</v>
      </c>
      <c r="C79" s="88" t="s">
        <v>55</v>
      </c>
      <c r="D79" s="9"/>
    </row>
    <row r="80" spans="1:4" ht="26.4" x14ac:dyDescent="0.25">
      <c r="A80" s="90" t="s">
        <v>61</v>
      </c>
      <c r="B80" s="2">
        <v>8</v>
      </c>
      <c r="C80" s="89" t="s">
        <v>59</v>
      </c>
      <c r="D80" s="91" t="s">
        <v>58</v>
      </c>
    </row>
    <row r="81" spans="1:4" x14ac:dyDescent="0.25">
      <c r="A81" s="90" t="s">
        <v>56</v>
      </c>
      <c r="B81" s="2">
        <v>1</v>
      </c>
      <c r="C81" s="89" t="s">
        <v>57</v>
      </c>
      <c r="D81" s="10"/>
    </row>
    <row r="82" spans="1:4" x14ac:dyDescent="0.25">
      <c r="A82" s="1" t="s">
        <v>40</v>
      </c>
      <c r="B82" s="2">
        <v>1</v>
      </c>
      <c r="C82" s="89" t="s">
        <v>49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3.8" thickBot="1" x14ac:dyDescent="0.3">
      <c r="A93" s="3"/>
      <c r="B93" s="3"/>
      <c r="C93" s="11"/>
      <c r="D93" s="11"/>
    </row>
    <row r="94" spans="1:4" ht="13.8" thickBot="1" x14ac:dyDescent="0.3">
      <c r="A94" s="47" t="s">
        <v>22</v>
      </c>
      <c r="B94" s="47">
        <f>SUM(B79:B93)</f>
        <v>12</v>
      </c>
      <c r="C94" s="87" t="s">
        <v>41</v>
      </c>
      <c r="D94" s="48"/>
    </row>
    <row r="95" spans="1:4" ht="14.4" thickBot="1" x14ac:dyDescent="0.35">
      <c r="A95" s="49"/>
      <c r="B95" s="49"/>
      <c r="C95" s="49"/>
      <c r="D95" s="49"/>
    </row>
    <row r="96" spans="1:4" ht="18" thickBot="1" x14ac:dyDescent="0.3">
      <c r="A96" s="42" t="s">
        <v>14</v>
      </c>
      <c r="B96" s="43">
        <v>6</v>
      </c>
      <c r="C96" s="44" t="s">
        <v>23</v>
      </c>
      <c r="D96" s="53">
        <f>$D$77+7</f>
        <v>45413</v>
      </c>
    </row>
    <row r="97" spans="1:4" ht="23.4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6.4" x14ac:dyDescent="0.25">
      <c r="A98" s="5" t="s">
        <v>34</v>
      </c>
      <c r="B98" s="4">
        <v>1</v>
      </c>
      <c r="C98" s="96" t="s">
        <v>64</v>
      </c>
      <c r="D98" s="9"/>
    </row>
    <row r="99" spans="1:4" ht="26.4" x14ac:dyDescent="0.25">
      <c r="A99" s="1" t="s">
        <v>36</v>
      </c>
      <c r="B99" s="2">
        <v>4</v>
      </c>
      <c r="C99" s="97" t="s">
        <v>66</v>
      </c>
      <c r="D99" s="10"/>
    </row>
    <row r="100" spans="1:4" x14ac:dyDescent="0.25">
      <c r="A100" s="90" t="s">
        <v>61</v>
      </c>
      <c r="B100" s="2">
        <v>3</v>
      </c>
      <c r="C100" s="97" t="s">
        <v>65</v>
      </c>
      <c r="D100" s="10"/>
    </row>
    <row r="101" spans="1:4" x14ac:dyDescent="0.25">
      <c r="A101" s="1" t="s">
        <v>40</v>
      </c>
      <c r="B101" s="2">
        <v>1</v>
      </c>
      <c r="C101" s="89" t="s">
        <v>49</v>
      </c>
      <c r="D101" s="10"/>
    </row>
    <row r="102" spans="1:4" ht="26.4" x14ac:dyDescent="0.25">
      <c r="A102" s="1" t="s">
        <v>31</v>
      </c>
      <c r="B102" s="2">
        <v>3</v>
      </c>
      <c r="C102" s="97" t="s">
        <v>67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3.8" thickBot="1" x14ac:dyDescent="0.3">
      <c r="A112" s="3"/>
      <c r="B112" s="3"/>
      <c r="C112" s="11"/>
      <c r="D112" s="11"/>
    </row>
    <row r="113" spans="1:4" ht="13.8" thickBot="1" x14ac:dyDescent="0.3">
      <c r="A113" s="47" t="s">
        <v>22</v>
      </c>
      <c r="B113" s="47">
        <f>SUM(B98:B112)</f>
        <v>12</v>
      </c>
      <c r="C113" s="87" t="s">
        <v>41</v>
      </c>
      <c r="D113" s="48"/>
    </row>
    <row r="114" spans="1:4" ht="14.4" thickBot="1" x14ac:dyDescent="0.35">
      <c r="A114" s="49"/>
      <c r="B114" s="49"/>
      <c r="C114" s="49"/>
      <c r="D114" s="49"/>
    </row>
    <row r="115" spans="1:4" ht="18" thickBot="1" x14ac:dyDescent="0.3">
      <c r="A115" s="42" t="s">
        <v>14</v>
      </c>
      <c r="B115" s="43">
        <v>7</v>
      </c>
      <c r="C115" s="44" t="s">
        <v>23</v>
      </c>
      <c r="D115" s="53">
        <f>$D$96+7</f>
        <v>45420</v>
      </c>
    </row>
    <row r="116" spans="1:4" ht="23.4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20" t="s">
        <v>63</v>
      </c>
      <c r="B117" s="4">
        <v>6</v>
      </c>
      <c r="C117" s="96" t="s">
        <v>68</v>
      </c>
      <c r="D117" s="9"/>
    </row>
    <row r="118" spans="1:4" ht="26.4" x14ac:dyDescent="0.25">
      <c r="A118" s="1" t="s">
        <v>37</v>
      </c>
      <c r="B118" s="2">
        <v>3</v>
      </c>
      <c r="C118" s="97" t="s">
        <v>69</v>
      </c>
      <c r="D118" s="10"/>
    </row>
    <row r="119" spans="1:4" ht="26.4" x14ac:dyDescent="0.25">
      <c r="A119" s="1" t="s">
        <v>31</v>
      </c>
      <c r="B119" s="2">
        <v>2</v>
      </c>
      <c r="C119" s="97" t="s">
        <v>70</v>
      </c>
      <c r="D119" s="10"/>
    </row>
    <row r="120" spans="1:4" x14ac:dyDescent="0.25">
      <c r="A120" s="1" t="s">
        <v>40</v>
      </c>
      <c r="B120" s="2">
        <v>1</v>
      </c>
      <c r="C120" s="89" t="s">
        <v>49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3.8" thickBot="1" x14ac:dyDescent="0.3">
      <c r="A131" s="3"/>
      <c r="B131" s="3"/>
      <c r="C131" s="11"/>
      <c r="D131" s="11"/>
    </row>
    <row r="132" spans="1:4" ht="13.8" thickBot="1" x14ac:dyDescent="0.3">
      <c r="A132" s="47" t="s">
        <v>22</v>
      </c>
      <c r="B132" s="47">
        <f>SUM(B117:B131)</f>
        <v>12</v>
      </c>
      <c r="C132" s="87" t="s">
        <v>41</v>
      </c>
      <c r="D132" s="48"/>
    </row>
    <row r="133" spans="1:4" ht="14.4" thickBot="1" x14ac:dyDescent="0.35">
      <c r="A133" s="49"/>
      <c r="B133" s="49"/>
      <c r="C133" s="49"/>
      <c r="D133" s="49"/>
    </row>
    <row r="134" spans="1:4" ht="18" thickBot="1" x14ac:dyDescent="0.3">
      <c r="A134" s="42" t="s">
        <v>14</v>
      </c>
      <c r="B134" s="43">
        <v>8</v>
      </c>
      <c r="C134" s="44" t="s">
        <v>23</v>
      </c>
      <c r="D134" s="53">
        <f>$D$115+7</f>
        <v>45427</v>
      </c>
    </row>
    <row r="135" spans="1:4" ht="23.4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26.4" x14ac:dyDescent="0.25">
      <c r="A136" s="90" t="s">
        <v>60</v>
      </c>
      <c r="B136" s="4">
        <v>1</v>
      </c>
      <c r="C136" s="96" t="s">
        <v>72</v>
      </c>
      <c r="D136" s="9"/>
    </row>
    <row r="137" spans="1:4" ht="26.4" x14ac:dyDescent="0.25">
      <c r="A137" s="90" t="s">
        <v>71</v>
      </c>
      <c r="B137" s="2">
        <v>10</v>
      </c>
      <c r="C137" s="97" t="s">
        <v>73</v>
      </c>
      <c r="D137" s="10"/>
    </row>
    <row r="138" spans="1:4" x14ac:dyDescent="0.25">
      <c r="A138" s="1" t="s">
        <v>40</v>
      </c>
      <c r="B138" s="2">
        <v>1</v>
      </c>
      <c r="C138" s="89" t="s">
        <v>49</v>
      </c>
      <c r="D138" s="10"/>
    </row>
    <row r="139" spans="1:4" x14ac:dyDescent="0.25"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3.8" thickBot="1" x14ac:dyDescent="0.3">
      <c r="A150" s="3"/>
      <c r="B150" s="3"/>
      <c r="C150" s="11"/>
      <c r="D150" s="11"/>
    </row>
    <row r="151" spans="1:4" ht="13.8" thickBot="1" x14ac:dyDescent="0.3">
      <c r="A151" s="47" t="s">
        <v>22</v>
      </c>
      <c r="B151" s="47">
        <f>SUM(B136:B150)</f>
        <v>12</v>
      </c>
      <c r="C151" s="87" t="s">
        <v>41</v>
      </c>
      <c r="D151" s="48"/>
    </row>
    <row r="152" spans="1:4" ht="14.4" thickBot="1" x14ac:dyDescent="0.35">
      <c r="A152" s="49"/>
      <c r="B152" s="49"/>
      <c r="C152" s="49"/>
      <c r="D152" s="49"/>
    </row>
    <row r="153" spans="1:4" ht="18" thickBot="1" x14ac:dyDescent="0.3">
      <c r="A153" s="42" t="s">
        <v>14</v>
      </c>
      <c r="B153" s="43">
        <v>9</v>
      </c>
      <c r="C153" s="44" t="s">
        <v>23</v>
      </c>
      <c r="D153" s="53">
        <f>$D$134+7</f>
        <v>45434</v>
      </c>
    </row>
    <row r="154" spans="1:4" ht="23.4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ht="13.8" thickBot="1" x14ac:dyDescent="0.3">
      <c r="A155" s="90" t="s">
        <v>62</v>
      </c>
      <c r="B155" s="2">
        <v>9</v>
      </c>
      <c r="C155" s="97" t="s">
        <v>74</v>
      </c>
      <c r="D155" s="9"/>
    </row>
    <row r="156" spans="1:4" ht="26.4" x14ac:dyDescent="0.25">
      <c r="A156" s="5" t="s">
        <v>30</v>
      </c>
      <c r="B156" s="2">
        <v>2</v>
      </c>
      <c r="C156" s="97" t="s">
        <v>75</v>
      </c>
      <c r="D156" s="10"/>
    </row>
    <row r="157" spans="1:4" x14ac:dyDescent="0.25">
      <c r="A157" s="1" t="s">
        <v>40</v>
      </c>
      <c r="B157" s="2">
        <v>1</v>
      </c>
      <c r="C157" s="89" t="s">
        <v>49</v>
      </c>
      <c r="D157" s="10"/>
    </row>
    <row r="158" spans="1:4" x14ac:dyDescent="0.25"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3.8" thickBot="1" x14ac:dyDescent="0.3">
      <c r="A169" s="3"/>
      <c r="B169" s="3"/>
      <c r="C169" s="11"/>
      <c r="D169" s="11"/>
    </row>
    <row r="170" spans="1:4" ht="13.8" thickBot="1" x14ac:dyDescent="0.3">
      <c r="A170" s="47" t="s">
        <v>22</v>
      </c>
      <c r="B170" s="47">
        <f>SUM(B155:B169)</f>
        <v>12</v>
      </c>
      <c r="C170" s="87" t="s">
        <v>41</v>
      </c>
      <c r="D170" s="48"/>
    </row>
    <row r="171" spans="1:4" ht="14.4" thickBot="1" x14ac:dyDescent="0.35">
      <c r="A171" s="49"/>
      <c r="B171" s="49"/>
      <c r="C171" s="49"/>
      <c r="D171" s="49"/>
    </row>
    <row r="172" spans="1:4" ht="18" thickBot="1" x14ac:dyDescent="0.3">
      <c r="A172" s="42" t="s">
        <v>14</v>
      </c>
      <c r="B172" s="43">
        <v>10</v>
      </c>
      <c r="C172" s="44" t="s">
        <v>23</v>
      </c>
      <c r="D172" s="53">
        <f>$D$153+7</f>
        <v>45441</v>
      </c>
    </row>
    <row r="173" spans="1:4" ht="23.4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3.8" thickBot="1" x14ac:dyDescent="0.3">
      <c r="A188" s="3"/>
      <c r="B188" s="3"/>
      <c r="C188" s="11"/>
      <c r="D188" s="11"/>
    </row>
    <row r="189" spans="1:4" ht="13.8" thickBot="1" x14ac:dyDescent="0.3">
      <c r="A189" s="47" t="s">
        <v>22</v>
      </c>
      <c r="B189" s="47">
        <f>SUM(B174:B188)</f>
        <v>0</v>
      </c>
      <c r="C189" s="87" t="s">
        <v>41</v>
      </c>
      <c r="D189" s="48"/>
    </row>
    <row r="190" spans="1:4" ht="13.8" x14ac:dyDescent="0.3">
      <c r="A190" s="49"/>
      <c r="B190" s="49"/>
      <c r="C190" s="49"/>
      <c r="D190" s="49"/>
    </row>
    <row r="191" spans="1:4" x14ac:dyDescent="0.25">
      <c r="A191" s="86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131DFE0-5066-4E12-BFB0-17345F4B117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74:B188 B136:B138 B140:B150 B155:B157 B159:B169" xr:uid="{80AFB950-B5BE-46B6-8C79-E70B3935320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E66A395-ACA9-4D29-8768-E9838CB0B9E0}">
      <formula1>0</formula1>
      <formula2>NbPerWeek * NbQuartPer</formula2>
    </dataValidation>
    <dataValidation type="list" allowBlank="1" showInputMessage="1" showErrorMessage="1" sqref="A3:A17 A22:A36 A41:A55 A60:A74 A79:A93 A118:A131 A174:A188 A98:A112 A136:A138 A140:A150 A155:A157 A159:A169" xr:uid="{D69F9E1D-6BB3-4F17-ADEF-0AFC974A83DF}">
      <formula1>lstTasks</formula1>
    </dataValidation>
  </dataValidations>
  <hyperlinks>
    <hyperlink ref="D80" r:id="rId1" display="https://www.cryptool.org/en/cto/openssl/" xr:uid="{9838939E-005C-422F-B261-1BAB8EFE9CD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3</xdr:row>
                <xdr:rowOff>53340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Casi sanchez</cp:lastModifiedBy>
  <cp:lastPrinted>2013-08-29T11:33:15Z</cp:lastPrinted>
  <dcterms:created xsi:type="dcterms:W3CDTF">1996-10-21T11:03:58Z</dcterms:created>
  <dcterms:modified xsi:type="dcterms:W3CDTF">2024-05-24T20:34:37Z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